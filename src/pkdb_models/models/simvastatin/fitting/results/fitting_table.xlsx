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fitting_result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<sst xmlns="http://schemas.openxmlformats.org/spreadsheetml/2006/main" count="175" uniqueCount="94">
  <si>
    <t xml:space="preserve">parameter</t>
  </si>
  <si>
    <t xml:space="preserve">normal value</t>
  </si>
  <si>
    <t xml:space="preserve">effect</t>
  </si>
  <si>
    <t xml:space="preserve">LI__SIMVATRA_Vmax</t>
  </si>
  <si>
    <t xml:space="preserve">cmax simva sinkt, wenn Vmax steigt</t>
  </si>
  <si>
    <t xml:space="preserve">cmax simacid steigt leicht, wenn Vmax steigt</t>
  </si>
  <si>
    <t xml:space="preserve">LI__SIMVATRA_Km</t>
  </si>
  <si>
    <t xml:space="preserve">wie Vmax</t>
  </si>
  <si>
    <t xml:space="preserve">LI__SIMACIDTRA_Vmax</t>
  </si>
  <si>
    <t xml:space="preserve">cmax simacid sinkt wenn Vmax steigt</t>
  </si>
  <si>
    <t xml:space="preserve">LI__SIMACIDTRA_Km</t>
  </si>
  <si>
    <t xml:space="preserve">cmax simacid ~verdoppelt, wenn Km verzehnfacht</t>
  </si>
  <si>
    <t xml:space="preserve">LI__SIMVAHYD_Vmax</t>
  </si>
  <si>
    <t xml:space="preserve">wenn vmax mal 100, sinkt cmax simva minimal </t>
  </si>
  <si>
    <t xml:space="preserve">wenn vmax mal 100, steigt cmax simacid minimal </t>
  </si>
  <si>
    <t xml:space="preserve">LI__SIMVAHYD_Km</t>
  </si>
  <si>
    <t xml:space="preserve">no effect</t>
  </si>
  <si>
    <t xml:space="preserve">LI__bi_inflow_simva_Vmax</t>
  </si>
  <si>
    <t xml:space="preserve">wenn vmax verzehnfacht, halbiert sich cmax von simva</t>
  </si>
  <si>
    <t xml:space="preserve">wenn verzehnfacht, sinkt simacid cmax minimal</t>
  </si>
  <si>
    <t xml:space="preserve">LI__bi_inflow_simacid_Vmax</t>
  </si>
  <si>
    <t xml:space="preserve">wenn verzehnfacht, wird simacid blut konzentration extrem klein</t>
  </si>
  <si>
    <t xml:space="preserve">GU__SIMVATRA_Vmax</t>
  </si>
  <si>
    <t xml:space="preserve">wenn verzehnfacht, simva cmax sinkt, simacid cmax steigt leicht</t>
  </si>
  <si>
    <t xml:space="preserve">GU__SIMVATRA_Km</t>
  </si>
  <si>
    <t xml:space="preserve">wenn verzehnfacht, simva cmax steigt, simacid cmax sinkt leicht</t>
  </si>
  <si>
    <t xml:space="preserve">GU__SIMACIDEXP_Vmax</t>
  </si>
  <si>
    <t xml:space="preserve">wenn vmax steigt, cmax simacid steigt </t>
  </si>
  <si>
    <t xml:space="preserve">GU__SIMACIDEXP_Km</t>
  </si>
  <si>
    <t xml:space="preserve">wenn steigt, sinkt cmax von simacid brutal ab</t>
  </si>
  <si>
    <t xml:space="preserve">GU__SIMVAHYD_Vmax</t>
  </si>
  <si>
    <t xml:space="preserve">wenn steigt, simva cmax sinkt, simacid cmax steigt</t>
  </si>
  <si>
    <t xml:space="preserve">GU__SIMVAHYD_Km</t>
  </si>
  <si>
    <t xml:space="preserve">wenns steigt, simva cmax steigt, simacid cmax sinkt</t>
  </si>
  <si>
    <t xml:space="preserve">Ka_simva</t>
  </si>
  <si>
    <t xml:space="preserve">fast kein simva, simacid im blut</t>
  </si>
  <si>
    <t xml:space="preserve">ein schneller kurzer extrem hoher peak</t>
  </si>
  <si>
    <t xml:space="preserve">type</t>
  </si>
  <si>
    <t xml:space="preserve">Unit</t>
  </si>
  <si>
    <t xml:space="preserve">mean</t>
  </si>
  <si>
    <t xml:space="preserve">upper bound</t>
  </si>
  <si>
    <t xml:space="preserve">lower bound</t>
  </si>
  <si>
    <t xml:space="preserve">Studies</t>
  </si>
  <si>
    <t xml:space="preserve">unit</t>
  </si>
  <si>
    <t xml:space="preserve">Backmann2000</t>
  </si>
  <si>
    <t xml:space="preserve">Gehin2015</t>
  </si>
  <si>
    <t xml:space="preserve">Harvey2018</t>
  </si>
  <si>
    <t xml:space="preserve">Chung2006</t>
  </si>
  <si>
    <t xml:space="preserve">Jiang2017</t>
  </si>
  <si>
    <t xml:space="preserve">Kantola1998</t>
  </si>
  <si>
    <t xml:space="preserve">Hsyu2001</t>
  </si>
  <si>
    <t xml:space="preserve">tissue</t>
  </si>
  <si>
    <t xml:space="preserve">plasma, 40mg</t>
  </si>
  <si>
    <t xml:space="preserve">serum, 40mg</t>
  </si>
  <si>
    <t xml:space="preserve">plasma, 20mg</t>
  </si>
  <si>
    <t xml:space="preserve">LI</t>
  </si>
  <si>
    <t xml:space="preserve">SIMVAIMP</t>
  </si>
  <si>
    <t xml:space="preserve">Vmax</t>
  </si>
  <si>
    <t xml:space="preserve">mmole/min</t>
  </si>
  <si>
    <t xml:space="preserve">Km</t>
  </si>
  <si>
    <t xml:space="preserve">mM</t>
  </si>
  <si>
    <t xml:space="preserve">SIMVAHYD</t>
  </si>
  <si>
    <t xml:space="preserve">SIMACIDIMP</t>
  </si>
  <si>
    <t xml:space="preserve">GU</t>
  </si>
  <si>
    <t xml:space="preserve">SIMACIDEXP</t>
  </si>
  <si>
    <t xml:space="preserve">1/hr</t>
  </si>
  <si>
    <t xml:space="preserve">ftissue_simva</t>
  </si>
  <si>
    <t xml:space="preserve">liter/min</t>
  </si>
  <si>
    <t xml:space="preserve">ftissue_simacid</t>
  </si>
  <si>
    <t xml:space="preserve">NOTES</t>
  </si>
  <si>
    <t xml:space="preserve">for simva</t>
  </si>
  <si>
    <t xml:space="preserve">cmax</t>
  </si>
  <si>
    <t xml:space="preserve">little bit too low</t>
  </si>
  <si>
    <t xml:space="preserve">good</t>
  </si>
  <si>
    <t xml:space="preserve">bit too low</t>
  </si>
  <si>
    <t xml:space="preserve">tmax</t>
  </si>
  <si>
    <t xml:space="preserve">~1,5 h too early</t>
  </si>
  <si>
    <t xml:space="preserve">bit too high(!)</t>
  </si>
  <si>
    <t xml:space="preserve">excretion</t>
  </si>
  <si>
    <t xml:space="preserve">seems  okay</t>
  </si>
  <si>
    <t xml:space="preserve">bit too slow</t>
  </si>
  <si>
    <t xml:space="preserve">not so good</t>
  </si>
  <si>
    <t xml:space="preserve">too fast</t>
  </si>
  <si>
    <t xml:space="preserve">absorption</t>
  </si>
  <si>
    <t xml:space="preserve">bit too fast</t>
  </si>
  <si>
    <t xml:space="preserve">for simacid</t>
  </si>
  <si>
    <t xml:space="preserve">working</t>
  </si>
  <si>
    <t xml:space="preserve">looks good</t>
  </si>
  <si>
    <t xml:space="preserve">no timecourse</t>
  </si>
  <si>
    <t xml:space="preserve">~4h too early</t>
  </si>
  <si>
    <t xml:space="preserve">3h too early</t>
  </si>
  <si>
    <t xml:space="preserve">but the curve</t>
  </si>
  <si>
    <t xml:space="preserve">is moved to </t>
  </si>
  <si>
    <t xml:space="preserve">the left (verschoben)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</si>
</sst>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6A8759"/>
      <name val="JetBrains Mono"/>
      <family val="3"/>
      <charset val="1"/>
    </font>
    <font>
      <sz val="10"/>
      <color rgb="FF6897BB"/>
      <name val="JetBrains Mono"/>
      <family val="3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JetBrains Mono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CCCCC"/>
        <bgColor rgb="FFCCCCFF"/>
      </patternFill>
    </fill>
    <fill>
      <patternFill patternType="solid">
        <fgColor rgb="FF729FCF"/>
        <bgColor rgb="FF6897BB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A8759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897B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6.81"/>
    <col collapsed="false" customWidth="true" hidden="false" outlineLevel="0" max="2" min="2" style="0" width="20.7"/>
    <col collapsed="false" customWidth="true" hidden="false" outlineLevel="0" max="3" min="3" style="0" width="44.87"/>
    <col collapsed="false" customWidth="true" hidden="false" outlineLevel="0" max="4" min="4" style="0" width="23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3" customFormat="false" ht="12.8" hidden="false" customHeight="false" outlineLevel="0" collapsed="false">
      <c r="A3" s="2" t="s">
        <v>3</v>
      </c>
      <c r="B3" s="3" t="n">
        <v>0.102809947182396</v>
      </c>
      <c r="C3" s="0" t="s">
        <v>4</v>
      </c>
    </row>
    <row r="4" customFormat="false" ht="12.8" hidden="false" customHeight="false" outlineLevel="0" collapsed="false">
      <c r="C4" s="0" t="s">
        <v>5</v>
      </c>
    </row>
    <row r="5" customFormat="false" ht="12.8" hidden="false" customHeight="false" outlineLevel="0" collapsed="false">
      <c r="A5" s="2" t="s">
        <v>6</v>
      </c>
      <c r="B5" s="0" t="n">
        <v>0.01</v>
      </c>
      <c r="C5" s="0" t="s">
        <v>7</v>
      </c>
    </row>
    <row r="7" customFormat="false" ht="12.8" hidden="false" customHeight="false" outlineLevel="0" collapsed="false">
      <c r="A7" s="2" t="s">
        <v>8</v>
      </c>
      <c r="B7" s="0" t="n">
        <v>0.7</v>
      </c>
      <c r="C7" s="0" t="s">
        <v>9</v>
      </c>
    </row>
    <row r="8" customFormat="false" ht="12.8" hidden="false" customHeight="false" outlineLevel="0" collapsed="false">
      <c r="A8" s="2" t="s">
        <v>10</v>
      </c>
      <c r="B8" s="0" t="n">
        <v>0.01</v>
      </c>
      <c r="C8" s="0" t="s">
        <v>11</v>
      </c>
    </row>
    <row r="10" customFormat="false" ht="12.8" hidden="false" customHeight="false" outlineLevel="0" collapsed="false">
      <c r="A10" s="2" t="s">
        <v>12</v>
      </c>
      <c r="B10" s="0" t="n">
        <v>0.000102070135697041</v>
      </c>
      <c r="C10" s="0" t="s">
        <v>13</v>
      </c>
    </row>
    <row r="11" customFormat="false" ht="12.8" hidden="false" customHeight="false" outlineLevel="0" collapsed="false">
      <c r="C11" s="0" t="s">
        <v>14</v>
      </c>
    </row>
    <row r="12" customFormat="false" ht="12.8" hidden="false" customHeight="false" outlineLevel="0" collapsed="false">
      <c r="A12" s="2" t="s">
        <v>15</v>
      </c>
      <c r="B12" s="0" t="n">
        <v>0.1</v>
      </c>
      <c r="C12" s="0" t="s">
        <v>16</v>
      </c>
    </row>
    <row r="14" customFormat="false" ht="12.8" hidden="false" customHeight="false" outlineLevel="0" collapsed="false">
      <c r="A14" s="2" t="s">
        <v>17</v>
      </c>
      <c r="B14" s="0" t="n">
        <v>0.1</v>
      </c>
      <c r="C14" s="0" t="s">
        <v>18</v>
      </c>
    </row>
    <row r="15" customFormat="false" ht="12.8" hidden="false" customHeight="false" outlineLevel="0" collapsed="false">
      <c r="C15" s="0" t="s">
        <v>19</v>
      </c>
    </row>
    <row r="17" customFormat="false" ht="12.8" hidden="false" customHeight="false" outlineLevel="0" collapsed="false">
      <c r="A17" s="2" t="s">
        <v>20</v>
      </c>
      <c r="B17" s="0" t="n">
        <v>0.1</v>
      </c>
      <c r="C17" s="0" t="s">
        <v>21</v>
      </c>
    </row>
    <row r="19" customFormat="false" ht="12.8" hidden="false" customHeight="false" outlineLevel="0" collapsed="false">
      <c r="A19" s="2" t="s">
        <v>22</v>
      </c>
      <c r="B19" s="0" t="n">
        <v>0.05</v>
      </c>
      <c r="C19" s="0" t="s">
        <v>23</v>
      </c>
    </row>
    <row r="21" customFormat="false" ht="12.8" hidden="false" customHeight="false" outlineLevel="0" collapsed="false">
      <c r="A21" s="2" t="s">
        <v>24</v>
      </c>
      <c r="B21" s="0" t="n">
        <v>0.01</v>
      </c>
      <c r="C21" s="0" t="s">
        <v>25</v>
      </c>
    </row>
    <row r="23" customFormat="false" ht="12.8" hidden="false" customHeight="false" outlineLevel="0" collapsed="false">
      <c r="A23" s="2" t="s">
        <v>26</v>
      </c>
      <c r="B23" s="0" t="n">
        <v>0.005</v>
      </c>
      <c r="C23" s="0" t="s">
        <v>27</v>
      </c>
    </row>
    <row r="25" customFormat="false" ht="12.8" hidden="false" customHeight="false" outlineLevel="0" collapsed="false">
      <c r="A25" s="2" t="s">
        <v>28</v>
      </c>
      <c r="B25" s="0" t="n">
        <v>0.01</v>
      </c>
      <c r="C25" s="0" t="s">
        <v>29</v>
      </c>
    </row>
    <row r="27" customFormat="false" ht="12.8" hidden="false" customHeight="false" outlineLevel="0" collapsed="false">
      <c r="A27" s="2" t="s">
        <v>30</v>
      </c>
      <c r="B27" s="0" t="n">
        <v>0.03</v>
      </c>
      <c r="C27" s="0" t="s">
        <v>31</v>
      </c>
    </row>
    <row r="29" customFormat="false" ht="12.8" hidden="false" customHeight="false" outlineLevel="0" collapsed="false">
      <c r="A29" s="2" t="s">
        <v>32</v>
      </c>
      <c r="B29" s="0" t="n">
        <v>0.01</v>
      </c>
      <c r="C29" s="0" t="s">
        <v>33</v>
      </c>
    </row>
    <row r="35" customFormat="false" ht="12.8" hidden="false" customHeight="false" outlineLevel="0" collapsed="false">
      <c r="A35" s="0" t="s">
        <v>34</v>
      </c>
      <c r="B35" s="0" t="n">
        <v>0.01</v>
      </c>
      <c r="C35" s="0" t="s">
        <v>35</v>
      </c>
    </row>
    <row r="36" customFormat="false" ht="12.8" hidden="false" customHeight="false" outlineLevel="0" collapsed="false">
      <c r="B36" s="0" t="n">
        <v>1</v>
      </c>
    </row>
    <row r="37" customFormat="false" ht="12.8" hidden="false" customHeight="false" outlineLevel="0" collapsed="false">
      <c r="B37" s="0" t="n">
        <v>10</v>
      </c>
      <c r="C37" s="0" t="s">
        <v>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Q14" activeCellId="0" sqref="Q1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47"/>
    <col collapsed="false" customWidth="true" hidden="false" outlineLevel="0" max="2" min="2" style="4" width="14.31"/>
    <col collapsed="false" customWidth="false" hidden="false" outlineLevel="0" max="3" min="3" style="4" width="11.54"/>
    <col collapsed="false" customWidth="true" hidden="false" outlineLevel="0" max="4" min="4" style="4" width="13.63"/>
    <col collapsed="false" customWidth="true" hidden="false" outlineLevel="0" max="5" min="5" style="5" width="13.63"/>
    <col collapsed="false" customWidth="true" hidden="false" outlineLevel="0" max="8" min="6" style="5" width="13.75"/>
    <col collapsed="false" customWidth="true" hidden="false" outlineLevel="0" max="10" min="9" style="5" width="13.19"/>
    <col collapsed="false" customWidth="true" hidden="false" outlineLevel="0" max="11" min="11" style="5" width="12.64"/>
    <col collapsed="false" customWidth="true" hidden="false" outlineLevel="0" max="12" min="12" style="5" width="13.06"/>
    <col collapsed="false" customWidth="true" hidden="false" outlineLevel="0" max="13" min="13" style="5" width="11.81"/>
    <col collapsed="false" customWidth="true" hidden="false" outlineLevel="0" max="14" min="14" style="5" width="12.5"/>
  </cols>
  <sheetData>
    <row r="1" customFormat="false" ht="12.8" hidden="false" customHeight="false" outlineLevel="0" collapsed="false">
      <c r="A1" s="6"/>
      <c r="B1" s="7" t="s">
        <v>0</v>
      </c>
      <c r="C1" s="8" t="s">
        <v>37</v>
      </c>
      <c r="D1" s="9" t="s">
        <v>38</v>
      </c>
      <c r="E1" s="10" t="s">
        <v>39</v>
      </c>
      <c r="F1" s="11" t="s">
        <v>40</v>
      </c>
      <c r="G1" s="12" t="s">
        <v>41</v>
      </c>
      <c r="H1" s="10" t="s">
        <v>42</v>
      </c>
      <c r="I1" s="11"/>
      <c r="J1" s="11"/>
      <c r="K1" s="11"/>
      <c r="L1" s="11"/>
      <c r="M1" s="12"/>
      <c r="N1" s="12"/>
    </row>
    <row r="2" customFormat="false" ht="12.8" hidden="false" customHeight="false" outlineLevel="0" collapsed="false">
      <c r="A2" s="13"/>
      <c r="B2" s="14" t="s">
        <v>0</v>
      </c>
      <c r="C2" s="15" t="s">
        <v>37</v>
      </c>
      <c r="D2" s="16" t="s">
        <v>43</v>
      </c>
      <c r="E2" s="17" t="s">
        <v>39</v>
      </c>
      <c r="F2" s="18" t="s">
        <v>40</v>
      </c>
      <c r="G2" s="19" t="s">
        <v>41</v>
      </c>
      <c r="H2" s="17" t="s">
        <v>44</v>
      </c>
      <c r="I2" s="18" t="s">
        <v>45</v>
      </c>
      <c r="J2" s="18" t="s">
        <v>46</v>
      </c>
      <c r="K2" s="18" t="s">
        <v>47</v>
      </c>
      <c r="L2" s="20" t="s">
        <v>48</v>
      </c>
      <c r="M2" s="21" t="s">
        <v>49</v>
      </c>
      <c r="N2" s="21" t="s">
        <v>50</v>
      </c>
    </row>
    <row r="3" customFormat="false" ht="12.8" hidden="false" customHeight="false" outlineLevel="0" collapsed="false">
      <c r="A3" s="13" t="s">
        <v>51</v>
      </c>
      <c r="B3" s="22"/>
      <c r="C3" s="23"/>
      <c r="D3" s="24"/>
      <c r="E3" s="25"/>
      <c r="F3" s="26"/>
      <c r="G3" s="27"/>
      <c r="H3" s="25" t="s">
        <v>52</v>
      </c>
      <c r="I3" s="25" t="s">
        <v>52</v>
      </c>
      <c r="J3" s="25" t="s">
        <v>52</v>
      </c>
      <c r="K3" s="25" t="s">
        <v>52</v>
      </c>
      <c r="L3" s="25" t="s">
        <v>52</v>
      </c>
      <c r="M3" s="27" t="s">
        <v>53</v>
      </c>
      <c r="N3" s="27" t="s">
        <v>54</v>
      </c>
    </row>
    <row r="4" customFormat="false" ht="12.8" hidden="false" customHeight="false" outlineLevel="0" collapsed="false">
      <c r="A4" s="28" t="s">
        <v>55</v>
      </c>
      <c r="B4" s="29" t="s">
        <v>56</v>
      </c>
      <c r="C4" s="30" t="s">
        <v>57</v>
      </c>
      <c r="D4" s="31" t="s">
        <v>58</v>
      </c>
      <c r="E4" s="32" t="n">
        <f aca="false">AVERAGE(H4:M4)</f>
        <v>0.427450309541312</v>
      </c>
      <c r="F4" s="33" t="n">
        <f aca="false">MAX(H4:M4)</f>
        <v>1.5</v>
      </c>
      <c r="G4" s="34" t="n">
        <f aca="false">MIN(H4:M4)</f>
        <v>0.0056793747264475</v>
      </c>
      <c r="H4" s="35" t="n">
        <v>1.5</v>
      </c>
      <c r="I4" s="35" t="n">
        <v>0.5</v>
      </c>
      <c r="J4" s="35" t="n">
        <v>0.0379842405603241</v>
      </c>
      <c r="K4" s="35" t="n">
        <v>0.5</v>
      </c>
      <c r="L4" s="35" t="n">
        <v>0.0210382419611019</v>
      </c>
      <c r="M4" s="35" t="n">
        <v>0.0056793747264475</v>
      </c>
      <c r="N4" s="35" t="n">
        <v>0.0183321164927648</v>
      </c>
    </row>
    <row r="5" customFormat="false" ht="12.8" hidden="false" customHeight="false" outlineLevel="0" collapsed="false">
      <c r="A5" s="28" t="s">
        <v>55</v>
      </c>
      <c r="B5" s="29" t="s">
        <v>56</v>
      </c>
      <c r="C5" s="30" t="s">
        <v>59</v>
      </c>
      <c r="D5" s="31" t="s">
        <v>60</v>
      </c>
      <c r="E5" s="32" t="n">
        <f aca="false">AVERAGE(H5:M5)</f>
        <v>0.01</v>
      </c>
      <c r="F5" s="33" t="n">
        <f aca="false">MAX(H5:M5)</f>
        <v>0.01</v>
      </c>
      <c r="G5" s="34" t="n">
        <f aca="false">MIN(H5:M5)</f>
        <v>0.01</v>
      </c>
      <c r="H5" s="35" t="n">
        <v>0.01</v>
      </c>
      <c r="I5" s="35" t="n">
        <v>0.01</v>
      </c>
      <c r="J5" s="35" t="n">
        <v>0.01</v>
      </c>
      <c r="K5" s="35" t="n">
        <v>0.01</v>
      </c>
      <c r="L5" s="35" t="n">
        <v>0.01</v>
      </c>
      <c r="M5" s="36" t="n">
        <v>0.01</v>
      </c>
      <c r="N5" s="36" t="n">
        <v>0.01</v>
      </c>
    </row>
    <row r="6" customFormat="false" ht="12.8" hidden="false" customHeight="false" outlineLevel="0" collapsed="false">
      <c r="A6" s="28"/>
      <c r="B6" s="29"/>
      <c r="C6" s="30"/>
      <c r="D6" s="31"/>
      <c r="E6" s="32"/>
      <c r="F6" s="33"/>
      <c r="G6" s="34"/>
      <c r="H6" s="35"/>
      <c r="I6" s="35"/>
      <c r="J6" s="35"/>
      <c r="K6" s="35"/>
      <c r="L6" s="35"/>
      <c r="M6" s="36"/>
      <c r="N6" s="36"/>
    </row>
    <row r="7" customFormat="false" ht="12.8" hidden="false" customHeight="false" outlineLevel="0" collapsed="false">
      <c r="A7" s="28" t="s">
        <v>55</v>
      </c>
      <c r="B7" s="29" t="s">
        <v>61</v>
      </c>
      <c r="C7" s="30" t="s">
        <v>57</v>
      </c>
      <c r="D7" s="31" t="s">
        <v>58</v>
      </c>
      <c r="E7" s="32" t="n">
        <f aca="false">AVERAGE(H7:M7)</f>
        <v>0.58833371235288</v>
      </c>
      <c r="F7" s="33" t="n">
        <f aca="false">MAX(H7:M7)</f>
        <v>0.9999959205486</v>
      </c>
      <c r="G7" s="34" t="n">
        <f aca="false">MIN(H7:M7)</f>
        <v>0.24368</v>
      </c>
      <c r="H7" s="35" t="n">
        <v>0.572108784522894</v>
      </c>
      <c r="I7" s="35" t="n">
        <v>0.572108784522894</v>
      </c>
      <c r="J7" s="35" t="n">
        <v>0.57</v>
      </c>
      <c r="K7" s="35" t="n">
        <v>0.572108784522894</v>
      </c>
      <c r="L7" s="35" t="n">
        <v>0.9999959205486</v>
      </c>
      <c r="M7" s="36" t="n">
        <v>0.24368</v>
      </c>
      <c r="N7" s="36" t="n">
        <v>0.57</v>
      </c>
    </row>
    <row r="8" customFormat="false" ht="12.8" hidden="false" customHeight="false" outlineLevel="0" collapsed="false">
      <c r="A8" s="28" t="s">
        <v>55</v>
      </c>
      <c r="B8" s="29" t="s">
        <v>61</v>
      </c>
      <c r="C8" s="30" t="s">
        <v>59</v>
      </c>
      <c r="D8" s="31" t="s">
        <v>60</v>
      </c>
      <c r="E8" s="32" t="n">
        <f aca="false">AVERAGE(H8:M8)</f>
        <v>0.1</v>
      </c>
      <c r="F8" s="33" t="n">
        <f aca="false">MAX(H8:M8)</f>
        <v>0.1</v>
      </c>
      <c r="G8" s="34" t="n">
        <f aca="false">MIN(H8:M8)</f>
        <v>0.1</v>
      </c>
      <c r="H8" s="35" t="n">
        <v>0.1</v>
      </c>
      <c r="I8" s="35" t="n">
        <v>0.1</v>
      </c>
      <c r="J8" s="35" t="n">
        <v>0.1</v>
      </c>
      <c r="K8" s="35" t="n">
        <v>0.1</v>
      </c>
      <c r="L8" s="35" t="n">
        <v>0.1</v>
      </c>
      <c r="M8" s="36" t="n">
        <v>0.1</v>
      </c>
      <c r="N8" s="36" t="n">
        <v>0.1</v>
      </c>
    </row>
    <row r="9" customFormat="false" ht="12.8" hidden="false" customHeight="false" outlineLevel="0" collapsed="false">
      <c r="B9" s="37"/>
      <c r="C9" s="38"/>
      <c r="D9" s="39"/>
      <c r="E9" s="32"/>
      <c r="F9" s="33"/>
      <c r="G9" s="34"/>
      <c r="H9" s="35"/>
      <c r="I9" s="35"/>
      <c r="J9" s="35"/>
      <c r="K9" s="35"/>
      <c r="L9" s="35"/>
      <c r="M9" s="36"/>
      <c r="N9" s="36"/>
    </row>
    <row r="10" customFormat="false" ht="12.8" hidden="false" customHeight="false" outlineLevel="0" collapsed="false">
      <c r="A10" s="28" t="s">
        <v>55</v>
      </c>
      <c r="B10" s="29" t="s">
        <v>62</v>
      </c>
      <c r="C10" s="30" t="s">
        <v>57</v>
      </c>
      <c r="D10" s="31" t="s">
        <v>58</v>
      </c>
      <c r="E10" s="32" t="n">
        <f aca="false">AVERAGE(H10:M10)</f>
        <v>0.000135166688336914</v>
      </c>
      <c r="F10" s="33" t="n">
        <f aca="false">MAX(H10:M10)</f>
        <v>0.0005</v>
      </c>
      <c r="G10" s="34" t="n">
        <f aca="false">MIN(H10:M10)</f>
        <v>1E-006</v>
      </c>
      <c r="H10" s="35" t="n">
        <v>0.000100000000000003</v>
      </c>
      <c r="I10" s="35" t="n">
        <v>0.0005</v>
      </c>
      <c r="J10" s="35" t="n">
        <v>1E-005</v>
      </c>
      <c r="K10" s="35" t="n">
        <v>0.000100000000000003</v>
      </c>
      <c r="L10" s="35" t="n">
        <v>0.000100000130021477</v>
      </c>
      <c r="M10" s="36" t="n">
        <v>1E-006</v>
      </c>
      <c r="N10" s="36" t="n">
        <v>0.0001</v>
      </c>
    </row>
    <row r="11" customFormat="false" ht="12.8" hidden="false" customHeight="false" outlineLevel="0" collapsed="false">
      <c r="A11" s="28" t="s">
        <v>55</v>
      </c>
      <c r="B11" s="29" t="s">
        <v>62</v>
      </c>
      <c r="C11" s="30" t="s">
        <v>59</v>
      </c>
      <c r="D11" s="31" t="s">
        <v>60</v>
      </c>
      <c r="E11" s="32" t="n">
        <f aca="false">AVERAGE(H11:M11)</f>
        <v>0.0505</v>
      </c>
      <c r="F11" s="33" t="n">
        <f aca="false">MAX(H11:M11)</f>
        <v>0.1</v>
      </c>
      <c r="G11" s="34" t="n">
        <f aca="false">MIN(H11:M11)</f>
        <v>0.001</v>
      </c>
      <c r="H11" s="35" t="n">
        <v>0.1</v>
      </c>
      <c r="I11" s="35" t="n">
        <v>0.1</v>
      </c>
      <c r="J11" s="35" t="n">
        <v>0.001</v>
      </c>
      <c r="K11" s="35" t="n">
        <v>0.1</v>
      </c>
      <c r="L11" s="35" t="n">
        <v>0.001</v>
      </c>
      <c r="M11" s="36" t="n">
        <v>0.001</v>
      </c>
      <c r="N11" s="36" t="n">
        <v>0.1</v>
      </c>
    </row>
    <row r="12" customFormat="false" ht="12.8" hidden="false" customHeight="false" outlineLevel="0" collapsed="false">
      <c r="A12" s="28"/>
      <c r="B12" s="29"/>
      <c r="C12" s="30"/>
      <c r="D12" s="31"/>
      <c r="E12" s="32"/>
      <c r="F12" s="33"/>
      <c r="G12" s="34"/>
      <c r="H12" s="35"/>
      <c r="I12" s="35"/>
      <c r="J12" s="35"/>
      <c r="K12" s="35"/>
      <c r="L12" s="35"/>
      <c r="M12" s="36"/>
      <c r="N12" s="36"/>
    </row>
    <row r="13" customFormat="false" ht="12.8" hidden="false" customHeight="false" outlineLevel="0" collapsed="false">
      <c r="A13" s="28" t="s">
        <v>63</v>
      </c>
      <c r="B13" s="29" t="s">
        <v>56</v>
      </c>
      <c r="C13" s="30" t="s">
        <v>57</v>
      </c>
      <c r="D13" s="31" t="s">
        <v>58</v>
      </c>
      <c r="E13" s="32" t="n">
        <f aca="false">AVERAGE(H13:M13)</f>
        <v>9.9910544404444</v>
      </c>
      <c r="F13" s="33" t="n">
        <f aca="false">MAX(H13:M13)</f>
        <v>9.99682062676866</v>
      </c>
      <c r="G13" s="34" t="n">
        <f aca="false">MIN(H13:M13)</f>
        <v>9.979</v>
      </c>
      <c r="H13" s="35" t="n">
        <v>9.99197153879459</v>
      </c>
      <c r="I13" s="35" t="n">
        <v>9.99197153879459</v>
      </c>
      <c r="J13" s="35" t="n">
        <v>9.99459139951398</v>
      </c>
      <c r="K13" s="35" t="n">
        <v>9.99197153879459</v>
      </c>
      <c r="L13" s="35" t="n">
        <v>9.99682062676866</v>
      </c>
      <c r="M13" s="36" t="n">
        <v>9.979</v>
      </c>
      <c r="N13" s="36" t="n">
        <v>7.8298</v>
      </c>
    </row>
    <row r="14" customFormat="false" ht="12.8" hidden="false" customHeight="false" outlineLevel="0" collapsed="false">
      <c r="A14" s="28" t="s">
        <v>63</v>
      </c>
      <c r="B14" s="29" t="s">
        <v>56</v>
      </c>
      <c r="C14" s="30" t="s">
        <v>59</v>
      </c>
      <c r="D14" s="31" t="s">
        <v>60</v>
      </c>
      <c r="E14" s="32" t="n">
        <f aca="false">AVERAGE(H14:M14)</f>
        <v>0.1</v>
      </c>
      <c r="F14" s="33" t="n">
        <f aca="false">MAX(H14:M14)</f>
        <v>0.1</v>
      </c>
      <c r="G14" s="34" t="n">
        <f aca="false">MIN(H14:M14)</f>
        <v>0.1</v>
      </c>
      <c r="H14" s="35" t="n">
        <v>0.1</v>
      </c>
      <c r="I14" s="35" t="n">
        <v>0.1</v>
      </c>
      <c r="J14" s="35" t="n">
        <v>0.1</v>
      </c>
      <c r="K14" s="35" t="n">
        <v>0.1</v>
      </c>
      <c r="L14" s="35" t="n">
        <v>0.1</v>
      </c>
      <c r="M14" s="36" t="n">
        <v>0.1</v>
      </c>
      <c r="N14" s="36" t="n">
        <v>0.1</v>
      </c>
    </row>
    <row r="15" customFormat="false" ht="12.8" hidden="false" customHeight="false" outlineLevel="0" collapsed="false">
      <c r="A15" s="28"/>
      <c r="B15" s="29"/>
      <c r="C15" s="30"/>
      <c r="D15" s="31"/>
      <c r="E15" s="32"/>
      <c r="F15" s="33"/>
      <c r="G15" s="34"/>
      <c r="H15" s="35"/>
      <c r="I15" s="35"/>
      <c r="J15" s="35"/>
      <c r="K15" s="35"/>
      <c r="L15" s="35"/>
      <c r="M15" s="36"/>
      <c r="N15" s="36"/>
    </row>
    <row r="16" customFormat="false" ht="12.8" hidden="false" customHeight="false" outlineLevel="0" collapsed="false">
      <c r="A16" s="28" t="s">
        <v>63</v>
      </c>
      <c r="B16" s="29" t="s">
        <v>61</v>
      </c>
      <c r="C16" s="30" t="s">
        <v>57</v>
      </c>
      <c r="D16" s="31" t="s">
        <v>58</v>
      </c>
      <c r="E16" s="32" t="n">
        <f aca="false">AVERAGE(H16:M16)</f>
        <v>0.244309374797623</v>
      </c>
      <c r="F16" s="33" t="n">
        <f aca="false">MAX(H16:M16)</f>
        <v>0.7886</v>
      </c>
      <c r="G16" s="34" t="n">
        <f aca="false">MIN(H16:M16)</f>
        <v>0.000120259528673273</v>
      </c>
      <c r="H16" s="35" t="n">
        <v>0.000120259528673273</v>
      </c>
      <c r="I16" s="35" t="n">
        <v>0.000120259528673273</v>
      </c>
      <c r="J16" s="35" t="n">
        <v>0.000120259528673273</v>
      </c>
      <c r="K16" s="35" t="n">
        <v>0.000120259528673273</v>
      </c>
      <c r="L16" s="35" t="n">
        <v>0.676775210671044</v>
      </c>
      <c r="M16" s="36" t="n">
        <v>0.7886</v>
      </c>
      <c r="N16" s="36" t="n">
        <v>0.000120259</v>
      </c>
    </row>
    <row r="17" customFormat="false" ht="12.8" hidden="false" customHeight="false" outlineLevel="0" collapsed="false">
      <c r="A17" s="28" t="s">
        <v>63</v>
      </c>
      <c r="B17" s="29" t="s">
        <v>61</v>
      </c>
      <c r="C17" s="30" t="s">
        <v>59</v>
      </c>
      <c r="D17" s="31" t="s">
        <v>60</v>
      </c>
      <c r="E17" s="32" t="n">
        <f aca="false">AVERAGE(H17:M17)</f>
        <v>0.1</v>
      </c>
      <c r="F17" s="33" t="n">
        <f aca="false">MAX(H17:M17)</f>
        <v>0.1</v>
      </c>
      <c r="G17" s="34" t="n">
        <f aca="false">MIN(H17:M17)</f>
        <v>0.1</v>
      </c>
      <c r="H17" s="35" t="n">
        <v>0.1</v>
      </c>
      <c r="I17" s="35" t="n">
        <v>0.1</v>
      </c>
      <c r="J17" s="35" t="n">
        <v>0.1</v>
      </c>
      <c r="K17" s="35" t="n">
        <v>0.1</v>
      </c>
      <c r="L17" s="35" t="n">
        <v>0.1</v>
      </c>
      <c r="M17" s="36" t="n">
        <v>0.1</v>
      </c>
      <c r="N17" s="36" t="n">
        <v>0.1</v>
      </c>
    </row>
    <row r="18" customFormat="false" ht="12.8" hidden="false" customHeight="false" outlineLevel="0" collapsed="false">
      <c r="B18" s="37"/>
      <c r="C18" s="38"/>
      <c r="D18" s="39"/>
      <c r="E18" s="32"/>
      <c r="F18" s="33"/>
      <c r="G18" s="34"/>
      <c r="H18" s="35"/>
      <c r="I18" s="35"/>
      <c r="J18" s="35"/>
      <c r="K18" s="35"/>
      <c r="L18" s="35"/>
      <c r="M18" s="36"/>
      <c r="N18" s="36"/>
    </row>
    <row r="19" customFormat="false" ht="12.8" hidden="false" customHeight="false" outlineLevel="0" collapsed="false">
      <c r="A19" s="28" t="s">
        <v>63</v>
      </c>
      <c r="B19" s="29" t="s">
        <v>64</v>
      </c>
      <c r="C19" s="30" t="s">
        <v>57</v>
      </c>
      <c r="D19" s="31" t="s">
        <v>58</v>
      </c>
      <c r="E19" s="32" t="n">
        <f aca="false">AVERAGE(H19:M19)</f>
        <v>0.00328583548666729</v>
      </c>
      <c r="F19" s="33" t="n">
        <f aca="false">MAX(H19:M19)</f>
        <v>0.00493637068408864</v>
      </c>
      <c r="G19" s="34" t="n">
        <f aca="false">MIN(H19:M19)</f>
        <v>0.00111354666648623</v>
      </c>
      <c r="H19" s="35" t="n">
        <v>0.00493637068408864</v>
      </c>
      <c r="I19" s="35" t="n">
        <v>0.00239640496244759</v>
      </c>
      <c r="J19" s="35" t="n">
        <v>0.00473231992289262</v>
      </c>
      <c r="K19" s="35" t="n">
        <v>0.00493637068408864</v>
      </c>
      <c r="L19" s="35" t="n">
        <v>0.00111354666648623</v>
      </c>
      <c r="M19" s="36" t="n">
        <v>0.0016</v>
      </c>
      <c r="N19" s="36" t="n">
        <v>0.004936</v>
      </c>
    </row>
    <row r="20" customFormat="false" ht="12.8" hidden="false" customHeight="false" outlineLevel="0" collapsed="false">
      <c r="A20" s="28" t="s">
        <v>63</v>
      </c>
      <c r="B20" s="29" t="s">
        <v>64</v>
      </c>
      <c r="C20" s="30" t="s">
        <v>59</v>
      </c>
      <c r="D20" s="31" t="s">
        <v>60</v>
      </c>
      <c r="E20" s="32" t="n">
        <f aca="false">AVERAGE(H20:M20)</f>
        <v>0.1</v>
      </c>
      <c r="F20" s="33" t="n">
        <f aca="false">MAX(H20:M20)</f>
        <v>0.1</v>
      </c>
      <c r="G20" s="34" t="n">
        <f aca="false">MIN(H20:M20)</f>
        <v>0.1</v>
      </c>
      <c r="H20" s="35" t="n">
        <v>0.1</v>
      </c>
      <c r="I20" s="35" t="n">
        <v>0.1</v>
      </c>
      <c r="J20" s="35" t="n">
        <v>0.1</v>
      </c>
      <c r="K20" s="35" t="n">
        <v>0.1</v>
      </c>
      <c r="L20" s="35" t="n">
        <v>0.1</v>
      </c>
      <c r="M20" s="36" t="n">
        <v>0.1</v>
      </c>
      <c r="N20" s="36" t="n">
        <v>0.1</v>
      </c>
    </row>
    <row r="21" customFormat="false" ht="12.8" hidden="false" customHeight="false" outlineLevel="0" collapsed="false">
      <c r="A21" s="28"/>
      <c r="B21" s="37"/>
      <c r="C21" s="38"/>
      <c r="D21" s="39"/>
      <c r="E21" s="32"/>
      <c r="F21" s="33"/>
      <c r="G21" s="34"/>
      <c r="H21" s="35"/>
      <c r="I21" s="35"/>
      <c r="J21" s="35"/>
      <c r="K21" s="35"/>
      <c r="L21" s="35"/>
      <c r="M21" s="36"/>
      <c r="N21" s="36"/>
    </row>
    <row r="22" customFormat="false" ht="12.8" hidden="false" customHeight="false" outlineLevel="0" collapsed="false">
      <c r="A22" s="28"/>
      <c r="B22" s="29" t="s">
        <v>34</v>
      </c>
      <c r="C22" s="30"/>
      <c r="D22" s="31" t="s">
        <v>65</v>
      </c>
      <c r="E22" s="32" t="n">
        <f aca="false">AVERAGE(H22:M22)</f>
        <v>0.266666666666667</v>
      </c>
      <c r="F22" s="33" t="n">
        <f aca="false">MAX(H22:M22)</f>
        <v>0.35</v>
      </c>
      <c r="G22" s="34" t="n">
        <f aca="false">MIN(H22:M22)</f>
        <v>0.25</v>
      </c>
      <c r="H22" s="35" t="n">
        <v>0.25</v>
      </c>
      <c r="I22" s="35" t="n">
        <v>0.25</v>
      </c>
      <c r="J22" s="35" t="n">
        <v>0.25</v>
      </c>
      <c r="K22" s="35" t="n">
        <v>0.25</v>
      </c>
      <c r="L22" s="35" t="n">
        <v>0.25</v>
      </c>
      <c r="M22" s="36" t="n">
        <v>0.35</v>
      </c>
      <c r="N22" s="36" t="n">
        <v>0.12374</v>
      </c>
    </row>
    <row r="23" customFormat="false" ht="12.8" hidden="false" customHeight="false" outlineLevel="0" collapsed="false">
      <c r="A23" s="28"/>
      <c r="B23" s="37" t="s">
        <v>66</v>
      </c>
      <c r="C23" s="38"/>
      <c r="D23" s="39" t="s">
        <v>67</v>
      </c>
      <c r="E23" s="32" t="n">
        <f aca="false">AVERAGE(H23:M23)</f>
        <v>99</v>
      </c>
      <c r="F23" s="33" t="n">
        <f aca="false">MAX(H23:M23)</f>
        <v>99</v>
      </c>
      <c r="G23" s="34" t="n">
        <f aca="false">MIN(H23:M23)</f>
        <v>99</v>
      </c>
      <c r="H23" s="35" t="n">
        <v>99</v>
      </c>
      <c r="I23" s="35" t="n">
        <v>99</v>
      </c>
      <c r="J23" s="35" t="n">
        <v>99</v>
      </c>
      <c r="K23" s="35" t="n">
        <v>99</v>
      </c>
      <c r="L23" s="35" t="n">
        <v>99</v>
      </c>
      <c r="M23" s="36" t="n">
        <v>99</v>
      </c>
      <c r="N23" s="36" t="n">
        <v>9947</v>
      </c>
    </row>
    <row r="24" customFormat="false" ht="12.8" hidden="false" customHeight="false" outlineLevel="0" collapsed="false">
      <c r="A24" s="40"/>
      <c r="B24" s="37" t="s">
        <v>68</v>
      </c>
      <c r="C24" s="38"/>
      <c r="D24" s="39" t="s">
        <v>67</v>
      </c>
      <c r="E24" s="32" t="n">
        <f aca="false">AVERAGE(H24:M24)</f>
        <v>99</v>
      </c>
      <c r="F24" s="33" t="n">
        <f aca="false">MAX(H24:M24)</f>
        <v>99</v>
      </c>
      <c r="G24" s="34" t="n">
        <f aca="false">MIN(H24:M24)</f>
        <v>99</v>
      </c>
      <c r="H24" s="35" t="n">
        <v>99</v>
      </c>
      <c r="I24" s="35" t="n">
        <v>99</v>
      </c>
      <c r="J24" s="35" t="n">
        <v>99</v>
      </c>
      <c r="K24" s="35" t="n">
        <v>99</v>
      </c>
      <c r="L24" s="35" t="n">
        <v>99</v>
      </c>
      <c r="M24" s="36" t="n">
        <v>99</v>
      </c>
      <c r="N24" s="36" t="n">
        <v>99</v>
      </c>
    </row>
    <row r="25" customFormat="false" ht="12.8" hidden="false" customHeight="false" outlineLevel="0" collapsed="false">
      <c r="A25" s="28"/>
      <c r="B25" s="41"/>
      <c r="C25" s="41"/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customFormat="false" ht="12.8" hidden="false" customHeight="false" outlineLevel="0" collapsed="false">
      <c r="A26" s="28"/>
      <c r="B26" s="37" t="s">
        <v>69</v>
      </c>
      <c r="C26" s="38" t="s">
        <v>70</v>
      </c>
      <c r="D26" s="38" t="s">
        <v>71</v>
      </c>
      <c r="E26" s="43"/>
      <c r="F26" s="43"/>
      <c r="G26" s="43"/>
      <c r="H26" s="43" t="s">
        <v>72</v>
      </c>
      <c r="I26" s="43" t="s">
        <v>73</v>
      </c>
      <c r="J26" s="43" t="s">
        <v>73</v>
      </c>
      <c r="K26" s="43" t="s">
        <v>73</v>
      </c>
      <c r="L26" s="43" t="s">
        <v>73</v>
      </c>
      <c r="M26" s="43" t="s">
        <v>74</v>
      </c>
      <c r="N26" s="43"/>
    </row>
    <row r="27" customFormat="false" ht="12.8" hidden="false" customHeight="false" outlineLevel="0" collapsed="false">
      <c r="A27" s="28"/>
      <c r="B27" s="38"/>
      <c r="C27" s="38"/>
      <c r="D27" s="38" t="s">
        <v>75</v>
      </c>
      <c r="E27" s="43"/>
      <c r="F27" s="43"/>
      <c r="G27" s="43"/>
      <c r="H27" s="43" t="s">
        <v>76</v>
      </c>
      <c r="I27" s="43" t="s">
        <v>73</v>
      </c>
      <c r="J27" s="43" t="s">
        <v>75</v>
      </c>
      <c r="K27" s="43" t="s">
        <v>73</v>
      </c>
      <c r="L27" s="43" t="s">
        <v>77</v>
      </c>
      <c r="M27" s="43" t="s">
        <v>74</v>
      </c>
      <c r="N27" s="43"/>
    </row>
    <row r="28" customFormat="false" ht="12.8" hidden="false" customHeight="false" outlineLevel="0" collapsed="false">
      <c r="A28" s="28"/>
      <c r="B28" s="38"/>
      <c r="C28" s="38"/>
      <c r="D28" s="38" t="s">
        <v>78</v>
      </c>
      <c r="E28" s="43"/>
      <c r="F28" s="43"/>
      <c r="G28" s="43"/>
      <c r="H28" s="43" t="s">
        <v>79</v>
      </c>
      <c r="I28" s="43" t="s">
        <v>73</v>
      </c>
      <c r="J28" s="43" t="s">
        <v>80</v>
      </c>
      <c r="K28" s="43" t="s">
        <v>73</v>
      </c>
      <c r="L28" s="43" t="s">
        <v>81</v>
      </c>
      <c r="M28" s="43" t="s">
        <v>82</v>
      </c>
      <c r="N28" s="43"/>
    </row>
    <row r="29" customFormat="false" ht="12.8" hidden="false" customHeight="false" outlineLevel="0" collapsed="false">
      <c r="A29" s="28"/>
      <c r="B29" s="38"/>
      <c r="C29" s="38"/>
      <c r="D29" s="38" t="s">
        <v>83</v>
      </c>
      <c r="E29" s="43"/>
      <c r="F29" s="43"/>
      <c r="G29" s="43"/>
      <c r="H29" s="43" t="s">
        <v>82</v>
      </c>
      <c r="I29" s="43" t="s">
        <v>73</v>
      </c>
      <c r="J29" s="43" t="s">
        <v>84</v>
      </c>
      <c r="K29" s="43" t="s">
        <v>73</v>
      </c>
      <c r="L29" s="43" t="s">
        <v>84</v>
      </c>
      <c r="M29" s="43" t="s">
        <v>84</v>
      </c>
      <c r="N29" s="43"/>
    </row>
    <row r="30" customFormat="false" ht="12.8" hidden="false" customHeight="false" outlineLevel="0" collapsed="false">
      <c r="A30" s="28"/>
      <c r="B30" s="38"/>
      <c r="C30" s="38"/>
      <c r="D30" s="38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Format="false" ht="12.8" hidden="false" customHeight="false" outlineLevel="0" collapsed="false">
      <c r="A31" s="28"/>
      <c r="B31" s="38"/>
      <c r="C31" s="38" t="s">
        <v>85</v>
      </c>
      <c r="D31" s="38" t="s">
        <v>71</v>
      </c>
      <c r="E31" s="43"/>
      <c r="F31" s="43"/>
      <c r="G31" s="43"/>
      <c r="H31" s="43" t="s">
        <v>86</v>
      </c>
      <c r="I31" s="43" t="s">
        <v>87</v>
      </c>
      <c r="J31" s="43" t="s">
        <v>74</v>
      </c>
      <c r="K31" s="43" t="s">
        <v>88</v>
      </c>
      <c r="L31" s="43" t="s">
        <v>87</v>
      </c>
      <c r="M31" s="43" t="s">
        <v>87</v>
      </c>
      <c r="N31" s="43"/>
    </row>
    <row r="32" customFormat="false" ht="12.8" hidden="false" customHeight="false" outlineLevel="0" collapsed="false">
      <c r="A32" s="28"/>
      <c r="B32" s="38"/>
      <c r="C32" s="38"/>
      <c r="D32" s="38" t="s">
        <v>75</v>
      </c>
      <c r="E32" s="43"/>
      <c r="F32" s="43"/>
      <c r="G32" s="43"/>
      <c r="H32" s="43" t="s">
        <v>89</v>
      </c>
      <c r="I32" s="43" t="s">
        <v>90</v>
      </c>
      <c r="J32" s="43" t="s">
        <v>73</v>
      </c>
      <c r="K32" s="43"/>
      <c r="L32" s="43" t="s">
        <v>91</v>
      </c>
      <c r="M32" s="43" t="s">
        <v>91</v>
      </c>
      <c r="N32" s="43"/>
    </row>
    <row r="33" customFormat="false" ht="12.8" hidden="false" customHeight="false" outlineLevel="0" collapsed="false">
      <c r="A33" s="28"/>
      <c r="B33" s="38"/>
      <c r="C33" s="38"/>
      <c r="D33" s="38" t="s">
        <v>78</v>
      </c>
      <c r="E33" s="43"/>
      <c r="F33" s="43"/>
      <c r="G33" s="43"/>
      <c r="H33" s="43" t="s">
        <v>87</v>
      </c>
      <c r="I33" s="43" t="s">
        <v>82</v>
      </c>
      <c r="J33" s="43" t="s">
        <v>73</v>
      </c>
      <c r="K33" s="43"/>
      <c r="L33" s="43" t="s">
        <v>92</v>
      </c>
      <c r="M33" s="43" t="s">
        <v>92</v>
      </c>
      <c r="N33" s="43"/>
    </row>
    <row r="34" customFormat="false" ht="12.8" hidden="false" customHeight="false" outlineLevel="0" collapsed="false">
      <c r="A34" s="28"/>
      <c r="B34" s="38"/>
      <c r="C34" s="38"/>
      <c r="D34" s="38" t="s">
        <v>83</v>
      </c>
      <c r="E34" s="43"/>
      <c r="F34" s="43"/>
      <c r="G34" s="43"/>
      <c r="H34" s="43" t="s">
        <v>82</v>
      </c>
      <c r="I34" s="43" t="s">
        <v>84</v>
      </c>
      <c r="J34" s="43" t="s">
        <v>73</v>
      </c>
      <c r="K34" s="43"/>
      <c r="L34" s="43" t="s">
        <v>93</v>
      </c>
      <c r="M34" s="43" t="s">
        <v>93</v>
      </c>
      <c r="N34" s="43"/>
    </row>
    <row r="35" customFormat="false" ht="12.8" hidden="false" customHeight="false" outlineLevel="0" collapsed="false">
      <c r="A35" s="28"/>
      <c r="B35" s="38"/>
      <c r="C35" s="38"/>
      <c r="D35" s="38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Format="false" ht="12.8" hidden="false" customHeight="false" outlineLevel="0" collapsed="false">
      <c r="A36" s="28"/>
      <c r="B36" s="38"/>
      <c r="C36" s="38"/>
      <c r="D36" s="38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Format="false" ht="12.8" hidden="false" customHeight="false" outlineLevel="0" collapsed="false">
      <c r="A37" s="28"/>
    </row>
    <row r="38" customFormat="false" ht="12.8" hidden="false" customHeight="false" outlineLevel="0" collapsed="false">
      <c r="A38" s="28"/>
    </row>
    <row r="39" customFormat="false" ht="12.8" hidden="false" customHeight="false" outlineLevel="0" collapsed="false">
      <c r="A39" s="28"/>
    </row>
    <row r="40" customFormat="false" ht="12.8" hidden="false" customHeight="false" outlineLevel="0" collapsed="false">
      <c r="A40" s="28"/>
    </row>
    <row r="41" customFormat="false" ht="12.8" hidden="false" customHeight="false" outlineLevel="0" collapsed="false">
      <c r="A41" s="28"/>
    </row>
    <row r="42" customFormat="false" ht="12.8" hidden="false" customHeight="false" outlineLevel="0" collapsed="false">
      <c r="A42" s="28"/>
    </row>
    <row r="43" customFormat="false" ht="12.8" hidden="false" customHeight="false" outlineLevel="0" collapsed="false">
      <c r="A43" s="28"/>
    </row>
    <row r="44" customFormat="false" ht="12.8" hidden="false" customHeight="false" outlineLevel="0" collapsed="false">
      <c r="A44" s="28"/>
    </row>
    <row r="45" customFormat="false" ht="12.8" hidden="false" customHeight="false" outlineLevel="0" collapsed="false">
      <c r="A45" s="28"/>
    </row>
    <row r="46" customFormat="false" ht="12.8" hidden="false" customHeight="false" outlineLevel="0" collapsed="false">
      <c r="A46" s="28"/>
    </row>
    <row r="47" customFormat="false" ht="12.8" hidden="false" customHeight="false" outlineLevel="0" collapsed="false">
      <c r="A47" s="28"/>
    </row>
    <row r="48" customFormat="false" ht="12.8" hidden="false" customHeight="false" outlineLevel="0" collapsed="false">
      <c r="A48" s="28"/>
    </row>
    <row r="49" customFormat="false" ht="12.8" hidden="false" customHeight="false" outlineLevel="0" collapsed="false">
      <c r="A49" s="28"/>
    </row>
    <row r="50" customFormat="false" ht="12.8" hidden="false" customHeight="false" outlineLevel="0" collapsed="false">
      <c r="A50" s="28"/>
    </row>
    <row r="51" customFormat="false" ht="12.8" hidden="false" customHeight="false" outlineLevel="0" collapsed="false">
      <c r="A51" s="28"/>
    </row>
    <row r="52" customFormat="false" ht="12.8" hidden="false" customHeight="false" outlineLevel="0" collapsed="false">
      <c r="A52" s="28"/>
    </row>
    <row r="53" customFormat="false" ht="12.8" hidden="false" customHeight="false" outlineLevel="0" collapsed="false">
      <c r="A53" s="28"/>
    </row>
    <row r="54" customFormat="false" ht="12.8" hidden="false" customHeight="false" outlineLevel="0" collapsed="false">
      <c r="A54" s="28"/>
    </row>
    <row r="55" customFormat="false" ht="12.8" hidden="false" customHeight="false" outlineLevel="0" collapsed="false">
      <c r="A55" s="28"/>
    </row>
    <row r="56" customFormat="false" ht="12.8" hidden="false" customHeight="false" outlineLevel="0" collapsed="false">
      <c r="A56" s="28"/>
    </row>
    <row r="57" customFormat="false" ht="12.8" hidden="false" customHeight="false" outlineLevel="0" collapsed="false">
      <c r="A57" s="28"/>
    </row>
    <row r="58" customFormat="false" ht="12.8" hidden="false" customHeight="false" outlineLevel="0" collapsed="false">
      <c r="A58" s="2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2020-06-24T16:43:28Z</dcterms:created>
  <dc:creator/>
  <dc:description/>
  <dc:language>en-US</dc:language>
  <cp:lastModifiedBy/>
  <dcterms:modified xsi:type="dcterms:W3CDTF">2020-07-01T17:06:15Z</dcterms:modified>
  <cp:revision>12</cp:revision>
  <dc:subject/>
  <dc:title/>
</cp:coreProperties>
</file>